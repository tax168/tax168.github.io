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\\DESKTOP-S6P4PK4\局域网共享目录rw\"/>
    </mc:Choice>
  </mc:AlternateContent>
  <xr:revisionPtr revIDLastSave="0" documentId="13_ncr:1_{CE85D743-22CA-415B-84E1-A1949E5AFF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个睡流水填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1" l="1"/>
  <c r="G91" i="1"/>
  <c r="L87" i="1"/>
  <c r="K87" i="1"/>
  <c r="J87" i="1"/>
  <c r="I87" i="1"/>
  <c r="H79" i="1"/>
  <c r="G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7" i="1"/>
  <c r="K67" i="1"/>
  <c r="J67" i="1"/>
  <c r="I67" i="1"/>
  <c r="L66" i="1"/>
  <c r="K66" i="1"/>
  <c r="J66" i="1"/>
  <c r="I66" i="1"/>
  <c r="H59" i="1"/>
  <c r="G59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7" i="1"/>
  <c r="K47" i="1"/>
  <c r="J47" i="1"/>
  <c r="I47" i="1"/>
  <c r="L46" i="1"/>
  <c r="K46" i="1"/>
  <c r="J46" i="1"/>
  <c r="I46" i="1"/>
  <c r="L45" i="1"/>
  <c r="K45" i="1"/>
  <c r="J45" i="1"/>
  <c r="I45" i="1"/>
  <c r="H38" i="1"/>
  <c r="G38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6" i="1"/>
  <c r="K26" i="1"/>
  <c r="J26" i="1"/>
  <c r="I26" i="1"/>
  <c r="L25" i="1"/>
  <c r="K25" i="1"/>
  <c r="J25" i="1"/>
  <c r="I25" i="1"/>
  <c r="L24" i="1"/>
  <c r="K24" i="1"/>
  <c r="J24" i="1"/>
  <c r="I24" i="1"/>
  <c r="H19" i="1"/>
  <c r="G19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</calcChain>
</file>

<file path=xl/sharedStrings.xml><?xml version="1.0" encoding="utf-8"?>
<sst xmlns="http://schemas.openxmlformats.org/spreadsheetml/2006/main" count="289" uniqueCount="46">
  <si>
    <t>姓名</t>
  </si>
  <si>
    <t>没有就写0，需要默认写默认比例或者金额</t>
  </si>
  <si>
    <t>身份证号</t>
  </si>
  <si>
    <t>公司信息以及税务可以在自己个睡app查看</t>
  </si>
  <si>
    <t>工资类型</t>
  </si>
  <si>
    <t>时间</t>
  </si>
  <si>
    <t>公司全名</t>
  </si>
  <si>
    <t>税务机关</t>
  </si>
  <si>
    <t>纳税人识别号</t>
  </si>
  <si>
    <t>税前收入</t>
  </si>
  <si>
    <t>个税</t>
  </si>
  <si>
    <t>养老保险</t>
  </si>
  <si>
    <t>医疗保险</t>
  </si>
  <si>
    <t>失业保险</t>
  </si>
  <si>
    <t>住房公积金</t>
  </si>
  <si>
    <t>专项附加扣除</t>
  </si>
  <si>
    <t>备注</t>
  </si>
  <si>
    <t>其他要求（例如任职受雇 几家，首页的专项扣除几项等）</t>
  </si>
  <si>
    <t>正常工资薪金</t>
  </si>
  <si>
    <t>全年一次性奖金收入</t>
  </si>
  <si>
    <t>4月</t>
  </si>
  <si>
    <t>赋界（南京）信息科技有限公司</t>
  </si>
  <si>
    <t>国家税务总局南京市江宁区税务局</t>
  </si>
  <si>
    <t>91320115MA273WW47</t>
  </si>
  <si>
    <t>5月</t>
  </si>
  <si>
    <t>6月</t>
  </si>
  <si>
    <t>7月</t>
  </si>
  <si>
    <t>8月</t>
  </si>
  <si>
    <t>9月</t>
  </si>
  <si>
    <t>10月</t>
  </si>
  <si>
    <t>11月</t>
  </si>
  <si>
    <t>12月</t>
  </si>
  <si>
    <t>当年合计</t>
  </si>
  <si>
    <t>1月</t>
  </si>
  <si>
    <t>2月</t>
  </si>
  <si>
    <t>硕捷（南京）信息科技有限公司</t>
  </si>
  <si>
    <t>国家税务总局南京市鼓楼区税务局</t>
  </si>
  <si>
    <t>91320106MA1X3DDB3K</t>
  </si>
  <si>
    <t>3月</t>
  </si>
  <si>
    <t>截图/录屏时间</t>
  </si>
  <si>
    <t>/</t>
  </si>
  <si>
    <t>标准机型模板</t>
  </si>
  <si>
    <t>安卓（软件生成，标准模板）</t>
  </si>
  <si>
    <t>安卓</t>
  </si>
  <si>
    <t>其他需求</t>
  </si>
  <si>
    <r>
      <rPr>
        <sz val="11"/>
        <color theme="1"/>
        <rFont val="微软雅黑"/>
        <charset val="134"/>
      </rPr>
      <t>说明：
1.</t>
    </r>
    <r>
      <rPr>
        <b/>
        <sz val="11"/>
        <color theme="8"/>
        <rFont val="微软雅黑"/>
        <charset val="134"/>
      </rPr>
      <t>公司名字和税前收入（标蓝色）</t>
    </r>
    <r>
      <rPr>
        <sz val="11"/>
        <color theme="1"/>
        <rFont val="微软雅黑"/>
        <charset val="134"/>
      </rPr>
      <t>为必填项。</t>
    </r>
    <r>
      <rPr>
        <b/>
        <sz val="11"/>
        <color theme="5"/>
        <rFont val="微软雅黑"/>
        <charset val="134"/>
      </rPr>
      <t>个税（标橙色）</t>
    </r>
    <r>
      <rPr>
        <sz val="11"/>
        <color theme="1"/>
        <rFont val="微软雅黑"/>
        <charset val="134"/>
      </rPr>
      <t>会填就填，专项附加扣除</t>
    </r>
    <r>
      <rPr>
        <sz val="11"/>
        <color theme="7"/>
        <rFont val="微软雅黑"/>
        <charset val="134"/>
      </rPr>
      <t>（标绿色）一列</t>
    </r>
    <r>
      <rPr>
        <sz val="11"/>
        <color theme="1"/>
        <rFont val="微软雅黑"/>
        <charset val="134"/>
      </rPr>
      <t>从自己个税App中找到正确填写， 收入扣除详情</t>
    </r>
    <r>
      <rPr>
        <b/>
        <sz val="11"/>
        <color theme="7"/>
        <rFont val="微软雅黑"/>
        <charset val="134"/>
      </rPr>
      <t xml:space="preserve">（标绿色）一列 </t>
    </r>
    <r>
      <rPr>
        <sz val="11"/>
        <rFont val="微软雅黑"/>
        <charset val="134"/>
      </rPr>
      <t>从自己的个税App里找到截图</t>
    </r>
    <r>
      <rPr>
        <sz val="11"/>
        <color theme="1"/>
        <rFont val="微软雅黑"/>
        <charset val="134"/>
      </rPr>
      <t xml:space="preserve">，我们财务帮您算税
2.需求确认后，不能修改，改需求等于重做，需要再次付款。不管做几个月的都需要填写当年全年的数据，以便计算当年收入合计，没有收入的月份填0，有年终的就填写对应的年终
3.世界上没有两部界面完全相同的手机，每部手机的长度，宽度，亮度，字体，字号，电量，信号等都不一样，模拟软件是标准模板，要兼顾大多数机型，不可能做到和您的手机百分百相同，但绝对不影响使用
4.如果您担心HR会抢您手机去对比，建议提供截图和录屏我们为您定制模拟软件，工时稍长价格稍贵，效果和您的手机界面一模一样
</t>
    </r>
    <r>
      <rPr>
        <sz val="18"/>
        <color rgb="FFFF0000"/>
        <rFont val="微软雅黑"/>
        <charset val="134"/>
      </rPr>
      <t>5.个睡不知道怎么计算得就不填，这边帮你计算
6.HR不会抢你的手机去核对，所以她不会在意你是安卓还是苹果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</si>
</sst>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宋体"/>
      <charset val="134"/>
      <scheme val="minor"/>
    </font>
    <font>
      <b/>
      <sz val="11"/>
      <color theme="8"/>
      <name val="微软雅黑"/>
      <charset val="134"/>
    </font>
    <font>
      <b/>
      <sz val="11"/>
      <color theme="5"/>
      <name val="微软雅黑"/>
      <charset val="134"/>
    </font>
    <font>
      <sz val="11"/>
      <color theme="7"/>
      <name val="微软雅黑"/>
      <charset val="134"/>
    </font>
    <font>
      <b/>
      <sz val="11"/>
      <color theme="7"/>
      <name val="微软雅黑"/>
      <charset val="134"/>
    </font>
    <font>
      <sz val="11"/>
      <name val="微软雅黑"/>
      <charset val="134"/>
    </font>
    <font>
      <sz val="18"/>
      <color rgb="FFFF0000"/>
      <name val="微软雅黑"/>
      <charset val="134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57" fontId="1" fillId="0" borderId="1" xfId="0" applyNumberFormat="1" applyFont="1" applyBorder="1" applyAlignment="1">
      <alignment horizontal="left" vertical="center"/>
    </xf>
    <xf numFmtId="9" fontId="1" fillId="7" borderId="1" xfId="0" applyNumberFormat="1" applyFont="1" applyFill="1" applyBorder="1" applyAlignment="1">
      <alignment horizontal="left" vertical="center"/>
    </xf>
    <xf numFmtId="10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8" fontId="1" fillId="4" borderId="1" xfId="0" applyNumberFormat="1" applyFont="1" applyFill="1" applyBorder="1" applyAlignment="1">
      <alignment horizontal="left" vertical="center"/>
    </xf>
    <xf numFmtId="178" fontId="1" fillId="5" borderId="1" xfId="0" applyNumberFormat="1" applyFont="1" applyFill="1" applyBorder="1" applyAlignment="1">
      <alignment horizontal="left" vertical="center"/>
    </xf>
    <xf numFmtId="57" fontId="2" fillId="0" borderId="1" xfId="0" applyNumberFormat="1" applyFont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178" fontId="1" fillId="4" borderId="4" xfId="0" applyNumberFormat="1" applyFont="1" applyFill="1" applyBorder="1" applyAlignment="1">
      <alignment horizontal="left" vertical="center"/>
    </xf>
    <xf numFmtId="178" fontId="1" fillId="4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zoomScale="70" zoomScaleNormal="70" workbookViewId="0">
      <selection activeCell="F9" sqref="F9"/>
    </sheetView>
  </sheetViews>
  <sheetFormatPr defaultColWidth="9" defaultRowHeight="16.5" x14ac:dyDescent="0.25"/>
  <cols>
    <col min="1" max="1" width="9" style="1"/>
    <col min="2" max="2" width="21.453125" style="1" customWidth="1"/>
    <col min="3" max="3" width="20.1796875" style="1" customWidth="1"/>
    <col min="4" max="4" width="29.90625" style="1" customWidth="1"/>
    <col min="5" max="5" width="34.453125" style="1" customWidth="1"/>
    <col min="6" max="6" width="26.36328125" style="1" customWidth="1"/>
    <col min="7" max="7" width="14" style="1" customWidth="1"/>
    <col min="8" max="8" width="12.453125" style="1" customWidth="1"/>
    <col min="9" max="9" width="14.36328125" style="1" customWidth="1"/>
    <col min="10" max="10" width="12.08984375" style="1" customWidth="1"/>
    <col min="11" max="11" width="13.54296875" style="1" customWidth="1"/>
    <col min="12" max="12" width="14" style="1" customWidth="1"/>
    <col min="13" max="13" width="29" style="1" customWidth="1"/>
    <col min="14" max="14" width="25.81640625" style="1" customWidth="1"/>
    <col min="15" max="15" width="55.453125" style="1" customWidth="1"/>
    <col min="16" max="16384" width="9" style="1"/>
  </cols>
  <sheetData>
    <row r="1" spans="1:15" ht="27" customHeight="1" x14ac:dyDescent="0.25">
      <c r="C1" s="2" t="s">
        <v>0</v>
      </c>
      <c r="D1" s="3"/>
      <c r="I1" s="35" t="s">
        <v>1</v>
      </c>
      <c r="J1" s="36"/>
      <c r="K1" s="36"/>
      <c r="L1" s="36"/>
    </row>
    <row r="2" spans="1:15" ht="36.65" customHeight="1" x14ac:dyDescent="0.25">
      <c r="C2" s="2" t="s">
        <v>2</v>
      </c>
      <c r="D2" s="3"/>
      <c r="H2" s="4"/>
      <c r="I2" s="36"/>
      <c r="J2" s="36"/>
      <c r="K2" s="36"/>
      <c r="L2" s="36"/>
    </row>
    <row r="3" spans="1:15" ht="25.75" customHeight="1" x14ac:dyDescent="0.25">
      <c r="D3" s="25" t="s">
        <v>3</v>
      </c>
      <c r="E3" s="26"/>
      <c r="F3" s="26"/>
      <c r="H3" s="5"/>
      <c r="I3" s="1">
        <v>5950</v>
      </c>
      <c r="L3" s="1">
        <v>5000</v>
      </c>
    </row>
    <row r="4" spans="1:15" x14ac:dyDescent="0.25">
      <c r="B4" s="1" t="s">
        <v>4</v>
      </c>
      <c r="C4" s="2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1" t="s">
        <v>16</v>
      </c>
      <c r="O4" s="1" t="s">
        <v>17</v>
      </c>
    </row>
    <row r="5" spans="1:15" x14ac:dyDescent="0.25">
      <c r="A5" s="1">
        <v>2022</v>
      </c>
      <c r="B5" s="1" t="s">
        <v>18</v>
      </c>
      <c r="C5" s="9"/>
      <c r="D5" s="6"/>
      <c r="E5" s="6"/>
      <c r="F5" s="6"/>
      <c r="G5" s="6"/>
      <c r="H5" s="7"/>
      <c r="I5" s="10">
        <v>0.08</v>
      </c>
      <c r="J5" s="10">
        <v>0.02</v>
      </c>
      <c r="K5" s="11">
        <v>5.0000000000000001E-3</v>
      </c>
      <c r="L5" s="10">
        <v>0.05</v>
      </c>
      <c r="M5" s="12"/>
    </row>
    <row r="6" spans="1:15" x14ac:dyDescent="0.25">
      <c r="B6" s="1" t="s">
        <v>18</v>
      </c>
      <c r="C6" s="9"/>
      <c r="D6" s="6"/>
      <c r="E6" s="6"/>
      <c r="F6" s="6"/>
      <c r="G6" s="6"/>
      <c r="H6" s="7"/>
      <c r="I6" s="8"/>
      <c r="J6" s="8"/>
      <c r="K6" s="8"/>
      <c r="L6" s="8"/>
      <c r="M6" s="8"/>
    </row>
    <row r="7" spans="1:15" x14ac:dyDescent="0.25">
      <c r="B7" s="1" t="s">
        <v>18</v>
      </c>
      <c r="C7" s="2"/>
      <c r="D7" s="6"/>
      <c r="E7" s="6"/>
      <c r="F7" s="6"/>
      <c r="G7" s="6"/>
      <c r="H7" s="7"/>
      <c r="I7" s="8"/>
      <c r="J7" s="8"/>
      <c r="K7" s="8"/>
      <c r="L7" s="8"/>
      <c r="M7" s="8"/>
    </row>
    <row r="8" spans="1:15" x14ac:dyDescent="0.25">
      <c r="B8" s="13" t="s">
        <v>19</v>
      </c>
      <c r="C8" s="14"/>
      <c r="D8" s="6"/>
      <c r="E8" s="6"/>
      <c r="F8" s="6"/>
      <c r="G8" s="14"/>
      <c r="H8" s="7"/>
      <c r="I8" s="8"/>
      <c r="J8" s="8"/>
      <c r="K8" s="8"/>
      <c r="L8" s="8"/>
      <c r="M8" s="8"/>
    </row>
    <row r="9" spans="1:15" x14ac:dyDescent="0.25">
      <c r="B9" s="1" t="s">
        <v>18</v>
      </c>
      <c r="C9" s="15" t="s">
        <v>20</v>
      </c>
      <c r="D9" s="16" t="s">
        <v>21</v>
      </c>
      <c r="E9" s="16" t="s">
        <v>22</v>
      </c>
      <c r="F9" s="16" t="s">
        <v>23</v>
      </c>
      <c r="G9" s="16">
        <v>9600</v>
      </c>
      <c r="H9" s="7"/>
      <c r="I9" s="8">
        <f>$I$3*$I$5</f>
        <v>476</v>
      </c>
      <c r="J9" s="8">
        <f>$J$5*$I$3</f>
        <v>119</v>
      </c>
      <c r="K9" s="8">
        <f>$I$3*$K$5</f>
        <v>29.75</v>
      </c>
      <c r="L9" s="8">
        <f>$L$3*$L$5</f>
        <v>250</v>
      </c>
      <c r="M9" s="8"/>
    </row>
    <row r="10" spans="1:15" x14ac:dyDescent="0.25">
      <c r="B10" s="1" t="s">
        <v>18</v>
      </c>
      <c r="C10" s="2" t="s">
        <v>24</v>
      </c>
      <c r="D10" s="6" t="s">
        <v>21</v>
      </c>
      <c r="E10" s="6" t="s">
        <v>22</v>
      </c>
      <c r="F10" s="6" t="s">
        <v>23</v>
      </c>
      <c r="G10" s="6">
        <v>9600</v>
      </c>
      <c r="H10" s="7"/>
      <c r="I10" s="8">
        <f t="shared" ref="I10:I17" si="0">$I$3*$I$5</f>
        <v>476</v>
      </c>
      <c r="J10" s="8">
        <f t="shared" ref="J10:J17" si="1">$J$5*$I$3</f>
        <v>119</v>
      </c>
      <c r="K10" s="8">
        <f t="shared" ref="K10:K17" si="2">$I$3*$K$5</f>
        <v>29.75</v>
      </c>
      <c r="L10" s="8">
        <f t="shared" ref="L10:L17" si="3">$L$3*$L$5</f>
        <v>250</v>
      </c>
      <c r="M10" s="8"/>
    </row>
    <row r="11" spans="1:15" x14ac:dyDescent="0.25">
      <c r="B11" s="1" t="s">
        <v>18</v>
      </c>
      <c r="C11" s="2" t="s">
        <v>25</v>
      </c>
      <c r="D11" s="6" t="s">
        <v>21</v>
      </c>
      <c r="E11" s="6" t="s">
        <v>22</v>
      </c>
      <c r="F11" s="6" t="s">
        <v>23</v>
      </c>
      <c r="G11" s="6">
        <v>9600</v>
      </c>
      <c r="H11" s="7"/>
      <c r="I11" s="8">
        <f t="shared" si="0"/>
        <v>476</v>
      </c>
      <c r="J11" s="8">
        <f t="shared" si="1"/>
        <v>119</v>
      </c>
      <c r="K11" s="8">
        <f t="shared" si="2"/>
        <v>29.75</v>
      </c>
      <c r="L11" s="8">
        <f t="shared" si="3"/>
        <v>250</v>
      </c>
      <c r="M11" s="8"/>
    </row>
    <row r="12" spans="1:15" x14ac:dyDescent="0.25">
      <c r="B12" s="1" t="s">
        <v>18</v>
      </c>
      <c r="C12" s="15" t="s">
        <v>26</v>
      </c>
      <c r="D12" s="16" t="s">
        <v>21</v>
      </c>
      <c r="E12" s="16" t="s">
        <v>22</v>
      </c>
      <c r="F12" s="16" t="s">
        <v>23</v>
      </c>
      <c r="G12" s="16">
        <v>12000</v>
      </c>
      <c r="H12" s="7"/>
      <c r="I12" s="8">
        <f t="shared" si="0"/>
        <v>476</v>
      </c>
      <c r="J12" s="8">
        <f t="shared" si="1"/>
        <v>119</v>
      </c>
      <c r="K12" s="8">
        <f t="shared" si="2"/>
        <v>29.75</v>
      </c>
      <c r="L12" s="8">
        <f t="shared" si="3"/>
        <v>250</v>
      </c>
      <c r="M12" s="8"/>
    </row>
    <row r="13" spans="1:15" x14ac:dyDescent="0.25">
      <c r="B13" s="1" t="s">
        <v>18</v>
      </c>
      <c r="C13" s="2" t="s">
        <v>27</v>
      </c>
      <c r="D13" s="6" t="s">
        <v>21</v>
      </c>
      <c r="E13" s="6" t="s">
        <v>22</v>
      </c>
      <c r="F13" s="6" t="s">
        <v>23</v>
      </c>
      <c r="G13" s="6">
        <v>12000</v>
      </c>
      <c r="H13" s="7"/>
      <c r="I13" s="8">
        <f t="shared" si="0"/>
        <v>476</v>
      </c>
      <c r="J13" s="8">
        <f t="shared" si="1"/>
        <v>119</v>
      </c>
      <c r="K13" s="8">
        <f t="shared" si="2"/>
        <v>29.75</v>
      </c>
      <c r="L13" s="8">
        <f t="shared" si="3"/>
        <v>250</v>
      </c>
      <c r="M13" s="8"/>
    </row>
    <row r="14" spans="1:15" x14ac:dyDescent="0.25">
      <c r="B14" s="1" t="s">
        <v>18</v>
      </c>
      <c r="C14" s="2" t="s">
        <v>28</v>
      </c>
      <c r="D14" s="6" t="s">
        <v>21</v>
      </c>
      <c r="E14" s="6" t="s">
        <v>22</v>
      </c>
      <c r="F14" s="6" t="s">
        <v>23</v>
      </c>
      <c r="G14" s="6">
        <v>12000</v>
      </c>
      <c r="H14" s="7"/>
      <c r="I14" s="8">
        <f t="shared" si="0"/>
        <v>476</v>
      </c>
      <c r="J14" s="8">
        <f t="shared" si="1"/>
        <v>119</v>
      </c>
      <c r="K14" s="8">
        <f t="shared" si="2"/>
        <v>29.75</v>
      </c>
      <c r="L14" s="8">
        <f t="shared" si="3"/>
        <v>250</v>
      </c>
      <c r="M14" s="8"/>
    </row>
    <row r="15" spans="1:15" x14ac:dyDescent="0.25">
      <c r="B15" s="1" t="s">
        <v>18</v>
      </c>
      <c r="C15" s="2" t="s">
        <v>29</v>
      </c>
      <c r="D15" s="6" t="s">
        <v>21</v>
      </c>
      <c r="E15" s="6" t="s">
        <v>22</v>
      </c>
      <c r="F15" s="6" t="s">
        <v>23</v>
      </c>
      <c r="G15" s="6">
        <v>12000</v>
      </c>
      <c r="H15" s="7"/>
      <c r="I15" s="8">
        <f t="shared" si="0"/>
        <v>476</v>
      </c>
      <c r="J15" s="8">
        <f t="shared" si="1"/>
        <v>119</v>
      </c>
      <c r="K15" s="8">
        <f t="shared" si="2"/>
        <v>29.75</v>
      </c>
      <c r="L15" s="8">
        <f t="shared" si="3"/>
        <v>250</v>
      </c>
      <c r="M15" s="8"/>
    </row>
    <row r="16" spans="1:15" x14ac:dyDescent="0.25">
      <c r="B16" s="1" t="s">
        <v>18</v>
      </c>
      <c r="C16" s="2" t="s">
        <v>30</v>
      </c>
      <c r="D16" s="6" t="s">
        <v>21</v>
      </c>
      <c r="E16" s="6" t="s">
        <v>22</v>
      </c>
      <c r="F16" s="6" t="s">
        <v>23</v>
      </c>
      <c r="G16" s="6">
        <v>12000</v>
      </c>
      <c r="H16" s="7"/>
      <c r="I16" s="8">
        <f t="shared" si="0"/>
        <v>476</v>
      </c>
      <c r="J16" s="8">
        <f t="shared" si="1"/>
        <v>119</v>
      </c>
      <c r="K16" s="8">
        <f t="shared" si="2"/>
        <v>29.75</v>
      </c>
      <c r="L16" s="8">
        <f t="shared" si="3"/>
        <v>250</v>
      </c>
      <c r="M16" s="8"/>
    </row>
    <row r="17" spans="1:13" x14ac:dyDescent="0.25">
      <c r="B17" s="1" t="s">
        <v>18</v>
      </c>
      <c r="C17" s="2" t="s">
        <v>31</v>
      </c>
      <c r="D17" s="6" t="s">
        <v>21</v>
      </c>
      <c r="E17" s="6" t="s">
        <v>22</v>
      </c>
      <c r="F17" s="6" t="s">
        <v>23</v>
      </c>
      <c r="G17" s="6">
        <v>12000</v>
      </c>
      <c r="H17" s="7"/>
      <c r="I17" s="8">
        <f t="shared" si="0"/>
        <v>476</v>
      </c>
      <c r="J17" s="8">
        <f t="shared" si="1"/>
        <v>119</v>
      </c>
      <c r="K17" s="8">
        <f t="shared" si="2"/>
        <v>29.75</v>
      </c>
      <c r="L17" s="8">
        <f t="shared" si="3"/>
        <v>250</v>
      </c>
      <c r="M17" s="8"/>
    </row>
    <row r="18" spans="1:13" x14ac:dyDescent="0.25">
      <c r="C18" s="2"/>
      <c r="D18" s="6"/>
      <c r="E18" s="6"/>
      <c r="F18" s="6"/>
      <c r="G18" s="6"/>
      <c r="H18" s="7"/>
      <c r="I18" s="8"/>
      <c r="J18" s="8"/>
      <c r="K18" s="8"/>
      <c r="L18" s="8"/>
      <c r="M18" s="8"/>
    </row>
    <row r="19" spans="1:13" x14ac:dyDescent="0.25">
      <c r="C19" s="2" t="s">
        <v>32</v>
      </c>
      <c r="D19" s="6"/>
      <c r="E19" s="17"/>
      <c r="F19" s="17"/>
      <c r="G19" s="17">
        <f>SUM(G5:G17)</f>
        <v>100800</v>
      </c>
      <c r="H19" s="18">
        <f>SUM(H5:H17)</f>
        <v>0</v>
      </c>
      <c r="I19" s="8"/>
      <c r="J19" s="8"/>
      <c r="K19" s="8"/>
      <c r="L19" s="8"/>
      <c r="M19" s="8"/>
    </row>
    <row r="20" spans="1:13" x14ac:dyDescent="0.25">
      <c r="C20" s="2"/>
      <c r="D20" s="6"/>
      <c r="E20" s="17"/>
      <c r="F20" s="17"/>
      <c r="G20" s="17"/>
      <c r="H20" s="18"/>
      <c r="I20" s="8"/>
      <c r="J20" s="8"/>
      <c r="K20" s="8"/>
      <c r="L20" s="8"/>
      <c r="M20" s="8"/>
    </row>
    <row r="21" spans="1:13" x14ac:dyDescent="0.25">
      <c r="C21" s="2"/>
      <c r="D21" s="6"/>
      <c r="E21" s="17"/>
      <c r="F21" s="17"/>
      <c r="G21" s="17"/>
      <c r="H21" s="18"/>
      <c r="I21" s="8">
        <v>6000</v>
      </c>
      <c r="J21" s="8"/>
      <c r="K21" s="8"/>
      <c r="L21" s="8">
        <v>6000</v>
      </c>
      <c r="M21" s="8"/>
    </row>
    <row r="22" spans="1:13" x14ac:dyDescent="0.25">
      <c r="C22" s="2"/>
      <c r="D22" s="6"/>
      <c r="E22" s="17"/>
      <c r="F22" s="17"/>
      <c r="G22" s="17"/>
      <c r="H22" s="18"/>
      <c r="I22" s="8">
        <v>0.08</v>
      </c>
      <c r="J22" s="8">
        <v>0.02</v>
      </c>
      <c r="K22" s="8">
        <v>5.0000000000000001E-3</v>
      </c>
      <c r="L22" s="8">
        <v>7.0000000000000007E-2</v>
      </c>
      <c r="M22" s="8"/>
    </row>
    <row r="23" spans="1:13" x14ac:dyDescent="0.25">
      <c r="C23" s="2"/>
      <c r="D23" s="6"/>
      <c r="E23" s="17"/>
      <c r="F23" s="17"/>
      <c r="G23" s="17"/>
      <c r="H23" s="18"/>
      <c r="I23" s="8"/>
      <c r="J23" s="8"/>
      <c r="K23" s="8"/>
      <c r="L23" s="8"/>
      <c r="M23" s="8"/>
    </row>
    <row r="24" spans="1:13" x14ac:dyDescent="0.25">
      <c r="A24" s="1">
        <v>2023</v>
      </c>
      <c r="B24" s="1" t="s">
        <v>18</v>
      </c>
      <c r="C24" s="9" t="s">
        <v>33</v>
      </c>
      <c r="D24" s="6" t="s">
        <v>21</v>
      </c>
      <c r="E24" s="6" t="s">
        <v>22</v>
      </c>
      <c r="F24" s="6" t="s">
        <v>23</v>
      </c>
      <c r="G24" s="6">
        <v>12000</v>
      </c>
      <c r="H24" s="7"/>
      <c r="I24" s="8">
        <f>$I$3*$I$5</f>
        <v>476</v>
      </c>
      <c r="J24" s="8">
        <f>$J$5*$I$3</f>
        <v>119</v>
      </c>
      <c r="K24" s="8">
        <f>$I$3*$K$5</f>
        <v>29.75</v>
      </c>
      <c r="L24" s="8">
        <f>$L$3*$L$5</f>
        <v>250</v>
      </c>
      <c r="M24" s="12"/>
    </row>
    <row r="25" spans="1:13" x14ac:dyDescent="0.25">
      <c r="B25" s="1" t="s">
        <v>18</v>
      </c>
      <c r="C25" s="19" t="s">
        <v>34</v>
      </c>
      <c r="D25" s="16" t="s">
        <v>35</v>
      </c>
      <c r="E25" s="16" t="s">
        <v>36</v>
      </c>
      <c r="F25" s="16" t="s">
        <v>37</v>
      </c>
      <c r="G25" s="16">
        <v>13500</v>
      </c>
      <c r="H25" s="7"/>
      <c r="I25" s="8">
        <f>$I$21*$I$22</f>
        <v>480</v>
      </c>
      <c r="J25" s="8">
        <f>$J$22*$I$21</f>
        <v>120</v>
      </c>
      <c r="K25" s="8">
        <f>$K$22*$I$21</f>
        <v>30</v>
      </c>
      <c r="L25" s="8">
        <f>$L$21*$L$22</f>
        <v>420</v>
      </c>
      <c r="M25" s="8"/>
    </row>
    <row r="26" spans="1:13" x14ac:dyDescent="0.25">
      <c r="B26" s="1" t="s">
        <v>18</v>
      </c>
      <c r="C26" s="2" t="s">
        <v>38</v>
      </c>
      <c r="D26" s="6" t="s">
        <v>35</v>
      </c>
      <c r="E26" s="6" t="s">
        <v>36</v>
      </c>
      <c r="F26" s="6" t="s">
        <v>37</v>
      </c>
      <c r="G26" s="6">
        <v>13500</v>
      </c>
      <c r="H26" s="7"/>
      <c r="I26" s="8">
        <f>$I$21*$I$22</f>
        <v>480</v>
      </c>
      <c r="J26" s="8">
        <f>$J$22*$I$21</f>
        <v>120</v>
      </c>
      <c r="K26" s="8">
        <f>$K$22*$I$21</f>
        <v>30</v>
      </c>
      <c r="L26" s="8">
        <f>$L$21*$L$22</f>
        <v>420</v>
      </c>
      <c r="M26" s="8"/>
    </row>
    <row r="27" spans="1:13" x14ac:dyDescent="0.25">
      <c r="B27" s="13" t="s">
        <v>19</v>
      </c>
      <c r="C27" s="14" t="s">
        <v>38</v>
      </c>
      <c r="D27" s="6" t="s">
        <v>35</v>
      </c>
      <c r="E27" s="6" t="s">
        <v>36</v>
      </c>
      <c r="F27" s="14" t="s">
        <v>37</v>
      </c>
      <c r="G27" s="14">
        <v>0</v>
      </c>
      <c r="H27" s="7"/>
      <c r="I27" s="8"/>
      <c r="J27" s="8"/>
      <c r="K27" s="8"/>
      <c r="L27" s="8"/>
      <c r="M27" s="8"/>
    </row>
    <row r="28" spans="1:13" x14ac:dyDescent="0.25">
      <c r="B28" s="1" t="s">
        <v>18</v>
      </c>
      <c r="C28" s="2" t="s">
        <v>20</v>
      </c>
      <c r="D28" s="6" t="s">
        <v>35</v>
      </c>
      <c r="E28" s="6" t="s">
        <v>36</v>
      </c>
      <c r="F28" s="6" t="s">
        <v>37</v>
      </c>
      <c r="G28" s="6">
        <v>13500</v>
      </c>
      <c r="H28" s="7"/>
      <c r="I28" s="8">
        <f>$I$21*$I$22</f>
        <v>480</v>
      </c>
      <c r="J28" s="8">
        <f>$J$22*$I$21</f>
        <v>120</v>
      </c>
      <c r="K28" s="8">
        <f>$K$22*$I$21</f>
        <v>30</v>
      </c>
      <c r="L28" s="8">
        <f>$L$21*$L$22</f>
        <v>420</v>
      </c>
      <c r="M28" s="8"/>
    </row>
    <row r="29" spans="1:13" x14ac:dyDescent="0.25">
      <c r="B29" s="1" t="s">
        <v>18</v>
      </c>
      <c r="C29" s="2" t="s">
        <v>24</v>
      </c>
      <c r="D29" s="6" t="s">
        <v>35</v>
      </c>
      <c r="E29" s="6" t="s">
        <v>36</v>
      </c>
      <c r="F29" s="6" t="s">
        <v>37</v>
      </c>
      <c r="G29" s="6">
        <v>13500</v>
      </c>
      <c r="H29" s="7"/>
      <c r="I29" s="8">
        <f t="shared" ref="I29:I36" si="4">$I$21*$I$22</f>
        <v>480</v>
      </c>
      <c r="J29" s="8">
        <f t="shared" ref="J29:J36" si="5">$J$22*$I$21</f>
        <v>120</v>
      </c>
      <c r="K29" s="8">
        <f t="shared" ref="K29:K36" si="6">$K$22*$I$21</f>
        <v>30</v>
      </c>
      <c r="L29" s="8">
        <f t="shared" ref="L29:L36" si="7">$L$21*$L$22</f>
        <v>420</v>
      </c>
      <c r="M29" s="8"/>
    </row>
    <row r="30" spans="1:13" x14ac:dyDescent="0.25">
      <c r="B30" s="1" t="s">
        <v>18</v>
      </c>
      <c r="C30" s="2" t="s">
        <v>25</v>
      </c>
      <c r="D30" s="6" t="s">
        <v>35</v>
      </c>
      <c r="E30" s="6" t="s">
        <v>36</v>
      </c>
      <c r="F30" s="6" t="s">
        <v>37</v>
      </c>
      <c r="G30" s="6">
        <v>13500</v>
      </c>
      <c r="H30" s="7"/>
      <c r="I30" s="8">
        <f t="shared" si="4"/>
        <v>480</v>
      </c>
      <c r="J30" s="8">
        <f t="shared" si="5"/>
        <v>120</v>
      </c>
      <c r="K30" s="8">
        <f t="shared" si="6"/>
        <v>30</v>
      </c>
      <c r="L30" s="8">
        <f t="shared" si="7"/>
        <v>420</v>
      </c>
      <c r="M30" s="8"/>
    </row>
    <row r="31" spans="1:13" x14ac:dyDescent="0.25">
      <c r="B31" s="1" t="s">
        <v>18</v>
      </c>
      <c r="C31" s="2" t="s">
        <v>26</v>
      </c>
      <c r="D31" s="6" t="s">
        <v>35</v>
      </c>
      <c r="E31" s="6" t="s">
        <v>36</v>
      </c>
      <c r="F31" s="6" t="s">
        <v>37</v>
      </c>
      <c r="G31" s="6">
        <v>13500</v>
      </c>
      <c r="H31" s="7"/>
      <c r="I31" s="8">
        <f t="shared" si="4"/>
        <v>480</v>
      </c>
      <c r="J31" s="8">
        <f t="shared" si="5"/>
        <v>120</v>
      </c>
      <c r="K31" s="8">
        <f t="shared" si="6"/>
        <v>30</v>
      </c>
      <c r="L31" s="8">
        <f t="shared" si="7"/>
        <v>420</v>
      </c>
      <c r="M31" s="8"/>
    </row>
    <row r="32" spans="1:13" x14ac:dyDescent="0.25">
      <c r="B32" s="1" t="s">
        <v>18</v>
      </c>
      <c r="C32" s="2" t="s">
        <v>27</v>
      </c>
      <c r="D32" s="6" t="s">
        <v>35</v>
      </c>
      <c r="E32" s="6" t="s">
        <v>36</v>
      </c>
      <c r="F32" s="6" t="s">
        <v>37</v>
      </c>
      <c r="G32" s="6">
        <v>13500</v>
      </c>
      <c r="H32" s="7"/>
      <c r="I32" s="8">
        <f t="shared" si="4"/>
        <v>480</v>
      </c>
      <c r="J32" s="8">
        <f t="shared" si="5"/>
        <v>120</v>
      </c>
      <c r="K32" s="8">
        <f t="shared" si="6"/>
        <v>30</v>
      </c>
      <c r="L32" s="8">
        <f t="shared" si="7"/>
        <v>420</v>
      </c>
      <c r="M32" s="8"/>
    </row>
    <row r="33" spans="1:15" x14ac:dyDescent="0.25">
      <c r="B33" s="1" t="s">
        <v>18</v>
      </c>
      <c r="C33" s="2" t="s">
        <v>28</v>
      </c>
      <c r="D33" s="6" t="s">
        <v>35</v>
      </c>
      <c r="E33" s="6" t="s">
        <v>36</v>
      </c>
      <c r="F33" s="6" t="s">
        <v>37</v>
      </c>
      <c r="G33" s="6">
        <v>13500</v>
      </c>
      <c r="H33" s="7"/>
      <c r="I33" s="8">
        <f t="shared" si="4"/>
        <v>480</v>
      </c>
      <c r="J33" s="8">
        <f t="shared" si="5"/>
        <v>120</v>
      </c>
      <c r="K33" s="8">
        <f t="shared" si="6"/>
        <v>30</v>
      </c>
      <c r="L33" s="8">
        <f t="shared" si="7"/>
        <v>420</v>
      </c>
      <c r="M33" s="8"/>
    </row>
    <row r="34" spans="1:15" x14ac:dyDescent="0.25">
      <c r="B34" s="1" t="s">
        <v>18</v>
      </c>
      <c r="C34" s="2" t="s">
        <v>29</v>
      </c>
      <c r="D34" s="6" t="s">
        <v>35</v>
      </c>
      <c r="E34" s="6" t="s">
        <v>36</v>
      </c>
      <c r="F34" s="6" t="s">
        <v>37</v>
      </c>
      <c r="G34" s="6">
        <v>13500</v>
      </c>
      <c r="H34" s="7"/>
      <c r="I34" s="8">
        <f t="shared" si="4"/>
        <v>480</v>
      </c>
      <c r="J34" s="8">
        <f t="shared" si="5"/>
        <v>120</v>
      </c>
      <c r="K34" s="8">
        <f t="shared" si="6"/>
        <v>30</v>
      </c>
      <c r="L34" s="8">
        <f t="shared" si="7"/>
        <v>420</v>
      </c>
      <c r="M34" s="8"/>
    </row>
    <row r="35" spans="1:15" x14ac:dyDescent="0.25">
      <c r="B35" s="1" t="s">
        <v>18</v>
      </c>
      <c r="C35" s="2" t="s">
        <v>30</v>
      </c>
      <c r="D35" s="6" t="s">
        <v>35</v>
      </c>
      <c r="E35" s="6" t="s">
        <v>36</v>
      </c>
      <c r="F35" s="6" t="s">
        <v>37</v>
      </c>
      <c r="G35" s="6">
        <v>13500</v>
      </c>
      <c r="H35" s="7"/>
      <c r="I35" s="8">
        <f t="shared" si="4"/>
        <v>480</v>
      </c>
      <c r="J35" s="8">
        <f t="shared" si="5"/>
        <v>120</v>
      </c>
      <c r="K35" s="8">
        <f t="shared" si="6"/>
        <v>30</v>
      </c>
      <c r="L35" s="8">
        <f t="shared" si="7"/>
        <v>420</v>
      </c>
      <c r="M35" s="8"/>
    </row>
    <row r="36" spans="1:15" x14ac:dyDescent="0.25">
      <c r="B36" s="1" t="s">
        <v>18</v>
      </c>
      <c r="C36" s="2" t="s">
        <v>31</v>
      </c>
      <c r="D36" s="6" t="s">
        <v>35</v>
      </c>
      <c r="E36" s="6" t="s">
        <v>36</v>
      </c>
      <c r="F36" s="6" t="s">
        <v>37</v>
      </c>
      <c r="G36" s="6">
        <v>13500</v>
      </c>
      <c r="H36" s="7"/>
      <c r="I36" s="8">
        <f t="shared" si="4"/>
        <v>480</v>
      </c>
      <c r="J36" s="8">
        <f t="shared" si="5"/>
        <v>120</v>
      </c>
      <c r="K36" s="8">
        <f t="shared" si="6"/>
        <v>30</v>
      </c>
      <c r="L36" s="8">
        <f t="shared" si="7"/>
        <v>420</v>
      </c>
      <c r="M36" s="8"/>
    </row>
    <row r="37" spans="1:15" x14ac:dyDescent="0.25">
      <c r="C37" s="2"/>
      <c r="D37" s="6"/>
      <c r="E37" s="6"/>
      <c r="F37" s="6"/>
      <c r="G37" s="6"/>
      <c r="H37" s="7"/>
      <c r="I37" s="8"/>
      <c r="J37" s="8"/>
      <c r="K37" s="8"/>
      <c r="L37" s="8"/>
      <c r="M37" s="8"/>
    </row>
    <row r="38" spans="1:15" x14ac:dyDescent="0.25">
      <c r="C38" s="2" t="s">
        <v>32</v>
      </c>
      <c r="D38" s="6"/>
      <c r="E38" s="17"/>
      <c r="F38" s="17"/>
      <c r="G38" s="17">
        <f>SUM(G24:G36)</f>
        <v>160500</v>
      </c>
      <c r="H38" s="18">
        <f>SUM(H24:H36)</f>
        <v>0</v>
      </c>
      <c r="I38" s="8"/>
      <c r="J38" s="8"/>
      <c r="K38" s="8"/>
      <c r="L38" s="8"/>
      <c r="M38" s="8"/>
    </row>
    <row r="39" spans="1:15" x14ac:dyDescent="0.25">
      <c r="C39" s="2"/>
      <c r="D39" s="6"/>
      <c r="E39" s="6"/>
      <c r="F39" s="6"/>
      <c r="G39" s="6"/>
      <c r="H39" s="7"/>
      <c r="I39" s="8"/>
      <c r="J39" s="8"/>
      <c r="K39" s="8"/>
      <c r="L39" s="8"/>
      <c r="M39" s="8"/>
    </row>
    <row r="40" spans="1:15" x14ac:dyDescent="0.25">
      <c r="C40" s="2"/>
      <c r="D40" s="6"/>
      <c r="E40" s="6"/>
      <c r="F40" s="6"/>
      <c r="G40" s="6"/>
      <c r="H40" s="7"/>
      <c r="I40" s="8"/>
      <c r="J40" s="8"/>
      <c r="K40" s="8"/>
      <c r="L40" s="8"/>
      <c r="M40" s="8"/>
    </row>
    <row r="41" spans="1:15" x14ac:dyDescent="0.25">
      <c r="C41" s="2"/>
      <c r="D41" s="6"/>
      <c r="E41" s="6"/>
      <c r="F41" s="6"/>
      <c r="G41" s="6"/>
      <c r="H41" s="7"/>
      <c r="I41" s="8">
        <v>6000</v>
      </c>
      <c r="J41" s="8"/>
      <c r="K41" s="8"/>
      <c r="L41" s="8">
        <v>6000</v>
      </c>
      <c r="M41" s="8"/>
    </row>
    <row r="42" spans="1:15" x14ac:dyDescent="0.25">
      <c r="C42" s="2"/>
      <c r="D42" s="6"/>
      <c r="E42" s="6"/>
      <c r="F42" s="6"/>
      <c r="G42" s="6"/>
      <c r="H42" s="7"/>
      <c r="I42" s="8">
        <v>0.08</v>
      </c>
      <c r="J42" s="8">
        <v>0.02</v>
      </c>
      <c r="K42" s="8">
        <v>5.0000000000000001E-3</v>
      </c>
      <c r="L42" s="8">
        <v>7.0000000000000007E-2</v>
      </c>
      <c r="M42" s="8"/>
    </row>
    <row r="43" spans="1:15" x14ac:dyDescent="0.25">
      <c r="C43" s="2"/>
      <c r="D43" s="6"/>
      <c r="E43" s="6"/>
      <c r="F43" s="6"/>
      <c r="G43" s="6"/>
      <c r="H43" s="7"/>
      <c r="I43" s="8"/>
      <c r="J43" s="8"/>
      <c r="K43" s="8"/>
      <c r="L43" s="8"/>
      <c r="M43" s="8"/>
    </row>
    <row r="44" spans="1:15" x14ac:dyDescent="0.25">
      <c r="C44" s="2"/>
      <c r="D44" s="6"/>
      <c r="E44" s="6"/>
      <c r="F44" s="6"/>
      <c r="G44" s="6"/>
      <c r="H44" s="7"/>
      <c r="I44" s="8"/>
      <c r="J44" s="8"/>
      <c r="K44" s="8"/>
      <c r="L44" s="8"/>
      <c r="M44" s="8"/>
    </row>
    <row r="45" spans="1:15" x14ac:dyDescent="0.25">
      <c r="A45" s="1">
        <v>2024</v>
      </c>
      <c r="B45" s="1" t="s">
        <v>18</v>
      </c>
      <c r="C45" s="9" t="s">
        <v>33</v>
      </c>
      <c r="D45" s="6" t="s">
        <v>35</v>
      </c>
      <c r="E45" s="6" t="s">
        <v>36</v>
      </c>
      <c r="F45" s="6" t="s">
        <v>37</v>
      </c>
      <c r="G45" s="6">
        <v>13500</v>
      </c>
      <c r="H45" s="7"/>
      <c r="I45" s="8">
        <f>$I$21*$I$22</f>
        <v>480</v>
      </c>
      <c r="J45" s="8">
        <f>$J$22*$I$21</f>
        <v>120</v>
      </c>
      <c r="K45" s="8">
        <f>$K$22*$I$21</f>
        <v>30</v>
      </c>
      <c r="L45" s="8">
        <f>$L$21*$L$22</f>
        <v>420</v>
      </c>
      <c r="M45" s="12"/>
      <c r="O45" s="34"/>
    </row>
    <row r="46" spans="1:15" x14ac:dyDescent="0.25">
      <c r="B46" s="1" t="s">
        <v>18</v>
      </c>
      <c r="C46" s="9" t="s">
        <v>34</v>
      </c>
      <c r="D46" s="6" t="s">
        <v>35</v>
      </c>
      <c r="E46" s="6" t="s">
        <v>36</v>
      </c>
      <c r="F46" s="6" t="s">
        <v>37</v>
      </c>
      <c r="G46" s="6">
        <v>13500</v>
      </c>
      <c r="H46" s="7"/>
      <c r="I46" s="8">
        <f>$I$21*$I$22</f>
        <v>480</v>
      </c>
      <c r="J46" s="8">
        <f>$J$22*$I$21</f>
        <v>120</v>
      </c>
      <c r="K46" s="8">
        <f>$K$22*$I$21</f>
        <v>30</v>
      </c>
      <c r="L46" s="8">
        <f>$L$21*$L$22</f>
        <v>420</v>
      </c>
      <c r="M46" s="8"/>
      <c r="O46" s="34"/>
    </row>
    <row r="47" spans="1:15" x14ac:dyDescent="0.25">
      <c r="B47" s="1" t="s">
        <v>18</v>
      </c>
      <c r="C47" s="2" t="s">
        <v>38</v>
      </c>
      <c r="D47" s="6" t="s">
        <v>35</v>
      </c>
      <c r="E47" s="6" t="s">
        <v>36</v>
      </c>
      <c r="F47" s="6" t="s">
        <v>37</v>
      </c>
      <c r="G47" s="6">
        <v>13500</v>
      </c>
      <c r="H47" s="7"/>
      <c r="I47" s="8">
        <f>$I$21*$I$22</f>
        <v>480</v>
      </c>
      <c r="J47" s="8">
        <f>$J$22*$I$21</f>
        <v>120</v>
      </c>
      <c r="K47" s="8">
        <f>$K$22*$I$21</f>
        <v>30</v>
      </c>
      <c r="L47" s="8">
        <f>$L$21*$L$22</f>
        <v>420</v>
      </c>
      <c r="M47" s="8"/>
      <c r="O47" s="34"/>
    </row>
    <row r="48" spans="1:15" x14ac:dyDescent="0.25">
      <c r="B48" s="13" t="s">
        <v>19</v>
      </c>
      <c r="C48" s="14" t="s">
        <v>38</v>
      </c>
      <c r="D48" s="6" t="s">
        <v>35</v>
      </c>
      <c r="E48" s="6" t="s">
        <v>36</v>
      </c>
      <c r="F48" s="14" t="s">
        <v>37</v>
      </c>
      <c r="G48" s="14">
        <v>13500</v>
      </c>
      <c r="H48" s="7"/>
      <c r="I48" s="8"/>
      <c r="J48" s="8"/>
      <c r="K48" s="8"/>
      <c r="L48" s="8"/>
      <c r="M48" s="8"/>
      <c r="O48" s="34"/>
    </row>
    <row r="49" spans="2:15" x14ac:dyDescent="0.25">
      <c r="B49" s="1" t="s">
        <v>18</v>
      </c>
      <c r="C49" s="2" t="s">
        <v>20</v>
      </c>
      <c r="D49" s="6" t="s">
        <v>35</v>
      </c>
      <c r="E49" s="6" t="s">
        <v>36</v>
      </c>
      <c r="F49" s="6" t="s">
        <v>37</v>
      </c>
      <c r="G49" s="6">
        <v>13500</v>
      </c>
      <c r="H49" s="7"/>
      <c r="I49" s="8">
        <f>$I$21*$I$22</f>
        <v>480</v>
      </c>
      <c r="J49" s="8">
        <f>$J$22*$I$21</f>
        <v>120</v>
      </c>
      <c r="K49" s="8">
        <f>$K$22*$I$21</f>
        <v>30</v>
      </c>
      <c r="L49" s="8">
        <f>$L$21*$L$22</f>
        <v>420</v>
      </c>
      <c r="M49" s="8"/>
      <c r="O49" s="34"/>
    </row>
    <row r="50" spans="2:15" x14ac:dyDescent="0.25">
      <c r="B50" s="1" t="s">
        <v>18</v>
      </c>
      <c r="C50" s="2" t="s">
        <v>24</v>
      </c>
      <c r="D50" s="6" t="s">
        <v>35</v>
      </c>
      <c r="E50" s="6" t="s">
        <v>36</v>
      </c>
      <c r="F50" s="6" t="s">
        <v>37</v>
      </c>
      <c r="G50" s="6">
        <v>13500</v>
      </c>
      <c r="H50" s="7"/>
      <c r="I50" s="8">
        <f t="shared" ref="I50:I57" si="8">$I$21*$I$22</f>
        <v>480</v>
      </c>
      <c r="J50" s="8">
        <f t="shared" ref="J50:J57" si="9">$J$22*$I$21</f>
        <v>120</v>
      </c>
      <c r="K50" s="8">
        <f t="shared" ref="K50:K57" si="10">$K$22*$I$21</f>
        <v>30</v>
      </c>
      <c r="L50" s="8">
        <f t="shared" ref="L50:L57" si="11">$L$21*$L$22</f>
        <v>420</v>
      </c>
      <c r="M50" s="8"/>
      <c r="O50" s="34"/>
    </row>
    <row r="51" spans="2:15" x14ac:dyDescent="0.25">
      <c r="B51" s="1" t="s">
        <v>18</v>
      </c>
      <c r="C51" s="2" t="s">
        <v>25</v>
      </c>
      <c r="D51" s="6" t="s">
        <v>35</v>
      </c>
      <c r="E51" s="6" t="s">
        <v>36</v>
      </c>
      <c r="F51" s="6" t="s">
        <v>37</v>
      </c>
      <c r="G51" s="6">
        <v>13500</v>
      </c>
      <c r="H51" s="7"/>
      <c r="I51" s="8">
        <f t="shared" si="8"/>
        <v>480</v>
      </c>
      <c r="J51" s="8">
        <f t="shared" si="9"/>
        <v>120</v>
      </c>
      <c r="K51" s="8">
        <f t="shared" si="10"/>
        <v>30</v>
      </c>
      <c r="L51" s="8">
        <f t="shared" si="11"/>
        <v>420</v>
      </c>
      <c r="M51" s="8"/>
      <c r="O51" s="34"/>
    </row>
    <row r="52" spans="2:15" x14ac:dyDescent="0.25">
      <c r="B52" s="1" t="s">
        <v>18</v>
      </c>
      <c r="C52" s="2" t="s">
        <v>26</v>
      </c>
      <c r="D52" s="6" t="s">
        <v>35</v>
      </c>
      <c r="E52" s="6" t="s">
        <v>36</v>
      </c>
      <c r="F52" s="6" t="s">
        <v>37</v>
      </c>
      <c r="G52" s="6">
        <v>13500</v>
      </c>
      <c r="H52" s="7"/>
      <c r="I52" s="8">
        <f t="shared" si="8"/>
        <v>480</v>
      </c>
      <c r="J52" s="8">
        <f t="shared" si="9"/>
        <v>120</v>
      </c>
      <c r="K52" s="8">
        <f t="shared" si="10"/>
        <v>30</v>
      </c>
      <c r="L52" s="8">
        <f t="shared" si="11"/>
        <v>420</v>
      </c>
      <c r="M52" s="8"/>
      <c r="O52" s="34"/>
    </row>
    <row r="53" spans="2:15" x14ac:dyDescent="0.25">
      <c r="B53" s="1" t="s">
        <v>18</v>
      </c>
      <c r="C53" s="2" t="s">
        <v>27</v>
      </c>
      <c r="D53" s="6" t="s">
        <v>35</v>
      </c>
      <c r="E53" s="6" t="s">
        <v>36</v>
      </c>
      <c r="F53" s="6" t="s">
        <v>37</v>
      </c>
      <c r="G53" s="6">
        <v>13500</v>
      </c>
      <c r="H53" s="7"/>
      <c r="I53" s="8">
        <f t="shared" si="8"/>
        <v>480</v>
      </c>
      <c r="J53" s="8">
        <f t="shared" si="9"/>
        <v>120</v>
      </c>
      <c r="K53" s="8">
        <f t="shared" si="10"/>
        <v>30</v>
      </c>
      <c r="L53" s="8">
        <f t="shared" si="11"/>
        <v>420</v>
      </c>
      <c r="M53" s="8"/>
      <c r="O53" s="34"/>
    </row>
    <row r="54" spans="2:15" x14ac:dyDescent="0.25">
      <c r="B54" s="1" t="s">
        <v>18</v>
      </c>
      <c r="C54" s="2" t="s">
        <v>28</v>
      </c>
      <c r="D54" s="6" t="s">
        <v>35</v>
      </c>
      <c r="E54" s="6" t="s">
        <v>36</v>
      </c>
      <c r="F54" s="6" t="s">
        <v>37</v>
      </c>
      <c r="G54" s="6">
        <v>13500</v>
      </c>
      <c r="H54" s="7"/>
      <c r="I54" s="8">
        <f t="shared" si="8"/>
        <v>480</v>
      </c>
      <c r="J54" s="8">
        <f t="shared" si="9"/>
        <v>120</v>
      </c>
      <c r="K54" s="8">
        <f t="shared" si="10"/>
        <v>30</v>
      </c>
      <c r="L54" s="8">
        <f t="shared" si="11"/>
        <v>420</v>
      </c>
      <c r="M54" s="8"/>
      <c r="O54" s="34"/>
    </row>
    <row r="55" spans="2:15" x14ac:dyDescent="0.25">
      <c r="B55" s="1" t="s">
        <v>18</v>
      </c>
      <c r="C55" s="2" t="s">
        <v>29</v>
      </c>
      <c r="D55" s="6" t="s">
        <v>35</v>
      </c>
      <c r="E55" s="6" t="s">
        <v>36</v>
      </c>
      <c r="F55" s="6" t="s">
        <v>37</v>
      </c>
      <c r="G55" s="6">
        <v>13500</v>
      </c>
      <c r="H55" s="7"/>
      <c r="I55" s="8">
        <f t="shared" si="8"/>
        <v>480</v>
      </c>
      <c r="J55" s="8">
        <f t="shared" si="9"/>
        <v>120</v>
      </c>
      <c r="K55" s="8">
        <f t="shared" si="10"/>
        <v>30</v>
      </c>
      <c r="L55" s="8">
        <f t="shared" si="11"/>
        <v>420</v>
      </c>
      <c r="M55" s="8"/>
      <c r="O55" s="34"/>
    </row>
    <row r="56" spans="2:15" x14ac:dyDescent="0.25">
      <c r="B56" s="1" t="s">
        <v>18</v>
      </c>
      <c r="C56" s="2" t="s">
        <v>30</v>
      </c>
      <c r="D56" s="6" t="s">
        <v>35</v>
      </c>
      <c r="E56" s="6" t="s">
        <v>36</v>
      </c>
      <c r="F56" s="6" t="s">
        <v>37</v>
      </c>
      <c r="G56" s="6">
        <v>13500</v>
      </c>
      <c r="H56" s="7"/>
      <c r="I56" s="8">
        <f t="shared" si="8"/>
        <v>480</v>
      </c>
      <c r="J56" s="8">
        <f t="shared" si="9"/>
        <v>120</v>
      </c>
      <c r="K56" s="8">
        <f t="shared" si="10"/>
        <v>30</v>
      </c>
      <c r="L56" s="8">
        <f t="shared" si="11"/>
        <v>420</v>
      </c>
      <c r="M56" s="8"/>
      <c r="O56" s="34"/>
    </row>
    <row r="57" spans="2:15" x14ac:dyDescent="0.25">
      <c r="B57" s="1" t="s">
        <v>18</v>
      </c>
      <c r="C57" s="2" t="s">
        <v>31</v>
      </c>
      <c r="D57" s="6" t="s">
        <v>35</v>
      </c>
      <c r="E57" s="6" t="s">
        <v>36</v>
      </c>
      <c r="F57" s="6" t="s">
        <v>37</v>
      </c>
      <c r="G57" s="6">
        <v>13500</v>
      </c>
      <c r="H57" s="7"/>
      <c r="I57" s="8">
        <f t="shared" si="8"/>
        <v>480</v>
      </c>
      <c r="J57" s="8">
        <f t="shared" si="9"/>
        <v>120</v>
      </c>
      <c r="K57" s="8">
        <f t="shared" si="10"/>
        <v>30</v>
      </c>
      <c r="L57" s="8">
        <f t="shared" si="11"/>
        <v>420</v>
      </c>
      <c r="M57" s="8"/>
      <c r="O57" s="34"/>
    </row>
    <row r="58" spans="2:15" x14ac:dyDescent="0.25">
      <c r="C58" s="2"/>
      <c r="D58" s="6"/>
      <c r="E58" s="6"/>
      <c r="F58" s="6"/>
      <c r="G58" s="6"/>
      <c r="H58" s="7"/>
      <c r="I58" s="8"/>
      <c r="J58" s="8"/>
      <c r="K58" s="8"/>
      <c r="L58" s="8"/>
      <c r="M58" s="8"/>
      <c r="O58" s="34"/>
    </row>
    <row r="59" spans="2:15" x14ac:dyDescent="0.25">
      <c r="C59" s="2" t="s">
        <v>32</v>
      </c>
      <c r="D59" s="6"/>
      <c r="E59" s="17"/>
      <c r="F59" s="17"/>
      <c r="G59" s="17">
        <f>SUM(G45:G57)</f>
        <v>175500</v>
      </c>
      <c r="H59" s="18">
        <f>SUM(H45:H57)</f>
        <v>0</v>
      </c>
      <c r="I59" s="8"/>
      <c r="J59" s="8"/>
      <c r="K59" s="8"/>
      <c r="L59" s="8"/>
      <c r="M59" s="8"/>
      <c r="O59" s="34"/>
    </row>
    <row r="60" spans="2:15" x14ac:dyDescent="0.25">
      <c r="C60" s="2"/>
      <c r="D60" s="6"/>
      <c r="E60" s="17"/>
      <c r="F60" s="17"/>
      <c r="G60" s="17"/>
      <c r="H60" s="18"/>
      <c r="I60" s="8"/>
      <c r="J60" s="20"/>
      <c r="K60" s="20"/>
      <c r="L60" s="20"/>
      <c r="M60" s="20"/>
      <c r="O60" s="34"/>
    </row>
    <row r="61" spans="2:15" x14ac:dyDescent="0.25">
      <c r="C61" s="2"/>
      <c r="D61" s="6"/>
      <c r="E61" s="17"/>
      <c r="F61" s="17"/>
      <c r="G61" s="17"/>
      <c r="H61" s="18"/>
      <c r="I61" s="8"/>
      <c r="J61" s="20"/>
      <c r="K61" s="20"/>
      <c r="L61" s="20"/>
      <c r="M61" s="20"/>
      <c r="O61" s="34"/>
    </row>
    <row r="62" spans="2:15" x14ac:dyDescent="0.25">
      <c r="C62" s="2"/>
      <c r="D62" s="6"/>
      <c r="E62" s="17"/>
      <c r="F62" s="17"/>
      <c r="G62" s="17"/>
      <c r="H62" s="18"/>
      <c r="I62" s="8">
        <v>6000</v>
      </c>
      <c r="J62" s="20"/>
      <c r="K62" s="20"/>
      <c r="L62" s="20">
        <v>6000</v>
      </c>
      <c r="M62" s="20"/>
      <c r="O62" s="34"/>
    </row>
    <row r="63" spans="2:15" x14ac:dyDescent="0.25">
      <c r="C63" s="2"/>
      <c r="D63" s="6"/>
      <c r="E63" s="17"/>
      <c r="F63" s="17"/>
      <c r="G63" s="17"/>
      <c r="H63" s="18"/>
      <c r="I63" s="8">
        <v>0.08</v>
      </c>
      <c r="J63" s="20">
        <v>0.02</v>
      </c>
      <c r="K63" s="20">
        <v>5.0000000000000001E-3</v>
      </c>
      <c r="L63" s="20">
        <v>7.0000000000000007E-2</v>
      </c>
      <c r="M63" s="20"/>
      <c r="O63" s="34"/>
    </row>
    <row r="64" spans="2:15" x14ac:dyDescent="0.25">
      <c r="C64" s="2"/>
      <c r="D64" s="6"/>
      <c r="E64" s="17"/>
      <c r="F64" s="17"/>
      <c r="G64" s="17"/>
      <c r="H64" s="18"/>
      <c r="I64" s="8"/>
      <c r="J64" s="20"/>
      <c r="K64" s="20"/>
      <c r="L64" s="20"/>
      <c r="M64" s="20"/>
      <c r="O64" s="34"/>
    </row>
    <row r="65" spans="1:15" x14ac:dyDescent="0.25">
      <c r="C65" s="2"/>
      <c r="D65" s="6"/>
      <c r="E65" s="17"/>
      <c r="F65" s="17"/>
      <c r="G65" s="17"/>
      <c r="H65" s="18"/>
      <c r="I65" s="8"/>
      <c r="J65" s="20"/>
      <c r="K65" s="20"/>
      <c r="L65" s="20"/>
      <c r="M65" s="20"/>
      <c r="O65" s="34"/>
    </row>
    <row r="66" spans="1:15" x14ac:dyDescent="0.25">
      <c r="A66" s="1">
        <v>2025</v>
      </c>
      <c r="B66" s="1" t="s">
        <v>18</v>
      </c>
      <c r="C66" s="9" t="s">
        <v>33</v>
      </c>
      <c r="D66" s="6" t="s">
        <v>35</v>
      </c>
      <c r="E66" s="6" t="s">
        <v>36</v>
      </c>
      <c r="F66" s="6" t="s">
        <v>37</v>
      </c>
      <c r="G66" s="6">
        <v>13500</v>
      </c>
      <c r="H66" s="7"/>
      <c r="I66" s="8">
        <f>$I$21*$I$22</f>
        <v>480</v>
      </c>
      <c r="J66" s="8">
        <f>$J$22*$I$21</f>
        <v>120</v>
      </c>
      <c r="K66" s="8">
        <f>$K$22*$I$21</f>
        <v>30</v>
      </c>
      <c r="L66" s="8">
        <f>$L$21*$L$22</f>
        <v>420</v>
      </c>
      <c r="M66" s="20"/>
      <c r="O66" s="34"/>
    </row>
    <row r="67" spans="1:15" x14ac:dyDescent="0.25">
      <c r="B67" s="1" t="s">
        <v>18</v>
      </c>
      <c r="C67" s="9" t="s">
        <v>34</v>
      </c>
      <c r="D67" s="6" t="s">
        <v>35</v>
      </c>
      <c r="E67" s="6" t="s">
        <v>36</v>
      </c>
      <c r="F67" s="6" t="s">
        <v>37</v>
      </c>
      <c r="G67" s="6">
        <v>13500</v>
      </c>
      <c r="H67" s="7"/>
      <c r="I67" s="8">
        <f>$I$21*$I$22</f>
        <v>480</v>
      </c>
      <c r="J67" s="8">
        <f>$J$22*$I$21</f>
        <v>120</v>
      </c>
      <c r="K67" s="8">
        <f>$K$22*$I$21</f>
        <v>30</v>
      </c>
      <c r="L67" s="8">
        <f>$L$21*$L$22</f>
        <v>420</v>
      </c>
      <c r="M67" s="20"/>
      <c r="O67" s="34"/>
    </row>
    <row r="68" spans="1:15" x14ac:dyDescent="0.25">
      <c r="B68" s="13" t="s">
        <v>19</v>
      </c>
      <c r="C68" s="14" t="s">
        <v>38</v>
      </c>
      <c r="D68" s="6" t="s">
        <v>35</v>
      </c>
      <c r="E68" s="14" t="s">
        <v>36</v>
      </c>
      <c r="F68" s="14" t="s">
        <v>37</v>
      </c>
      <c r="G68" s="14">
        <v>13500</v>
      </c>
      <c r="H68" s="18"/>
      <c r="I68" s="8"/>
      <c r="J68" s="8"/>
      <c r="K68" s="8"/>
      <c r="L68" s="8"/>
      <c r="M68" s="20"/>
      <c r="O68" s="34"/>
    </row>
    <row r="69" spans="1:15" x14ac:dyDescent="0.25">
      <c r="B69" s="1" t="s">
        <v>18</v>
      </c>
      <c r="C69" s="2" t="s">
        <v>38</v>
      </c>
      <c r="D69" s="6" t="s">
        <v>35</v>
      </c>
      <c r="E69" s="6" t="s">
        <v>36</v>
      </c>
      <c r="F69" s="6" t="s">
        <v>37</v>
      </c>
      <c r="G69" s="6">
        <v>13500</v>
      </c>
      <c r="H69" s="18"/>
      <c r="I69" s="8">
        <f>$I$21*$I$22</f>
        <v>480</v>
      </c>
      <c r="J69" s="8">
        <f>$J$22*$I$21</f>
        <v>120</v>
      </c>
      <c r="K69" s="8">
        <f>$K$22*$I$21</f>
        <v>30</v>
      </c>
      <c r="L69" s="8">
        <f>$L$21*$L$22</f>
        <v>420</v>
      </c>
      <c r="M69" s="20"/>
      <c r="O69" s="34"/>
    </row>
    <row r="70" spans="1:15" x14ac:dyDescent="0.25">
      <c r="B70" s="1" t="s">
        <v>18</v>
      </c>
      <c r="C70" s="2" t="s">
        <v>20</v>
      </c>
      <c r="D70" s="6" t="s">
        <v>35</v>
      </c>
      <c r="E70" s="6" t="s">
        <v>36</v>
      </c>
      <c r="F70" s="6" t="s">
        <v>37</v>
      </c>
      <c r="G70" s="6">
        <v>13500</v>
      </c>
      <c r="H70" s="18"/>
      <c r="I70" s="8">
        <f>$I$21*$I$22</f>
        <v>480</v>
      </c>
      <c r="J70" s="8">
        <f>$J$22*$I$21</f>
        <v>120</v>
      </c>
      <c r="K70" s="8">
        <f>$K$22*$I$21</f>
        <v>30</v>
      </c>
      <c r="L70" s="8">
        <f>$L$21*$L$22</f>
        <v>420</v>
      </c>
      <c r="M70" s="20"/>
      <c r="O70" s="34"/>
    </row>
    <row r="71" spans="1:15" x14ac:dyDescent="0.25">
      <c r="B71" s="1" t="s">
        <v>18</v>
      </c>
      <c r="C71" s="2" t="s">
        <v>24</v>
      </c>
      <c r="D71" s="6" t="s">
        <v>35</v>
      </c>
      <c r="E71" s="6" t="s">
        <v>36</v>
      </c>
      <c r="F71" s="6" t="s">
        <v>37</v>
      </c>
      <c r="G71" s="6">
        <v>13500</v>
      </c>
      <c r="H71" s="18"/>
      <c r="I71" s="8">
        <f t="shared" ref="I71:I78" si="12">$I$21*$I$22</f>
        <v>480</v>
      </c>
      <c r="J71" s="8">
        <f t="shared" ref="J71:J78" si="13">$J$22*$I$21</f>
        <v>120</v>
      </c>
      <c r="K71" s="8">
        <f t="shared" ref="K71:K78" si="14">$K$22*$I$21</f>
        <v>30</v>
      </c>
      <c r="L71" s="8">
        <f t="shared" ref="L71:L78" si="15">$L$21*$L$22</f>
        <v>420</v>
      </c>
      <c r="M71" s="20"/>
      <c r="O71" s="34"/>
    </row>
    <row r="72" spans="1:15" x14ac:dyDescent="0.25">
      <c r="B72" s="1" t="s">
        <v>18</v>
      </c>
      <c r="C72" s="2" t="s">
        <v>25</v>
      </c>
      <c r="D72" s="6" t="s">
        <v>35</v>
      </c>
      <c r="E72" s="6" t="s">
        <v>36</v>
      </c>
      <c r="F72" s="6" t="s">
        <v>37</v>
      </c>
      <c r="G72" s="6">
        <v>13500</v>
      </c>
      <c r="H72" s="18"/>
      <c r="I72" s="8">
        <f t="shared" si="12"/>
        <v>480</v>
      </c>
      <c r="J72" s="8">
        <f t="shared" si="13"/>
        <v>120</v>
      </c>
      <c r="K72" s="8">
        <f t="shared" si="14"/>
        <v>30</v>
      </c>
      <c r="L72" s="8">
        <f t="shared" si="15"/>
        <v>420</v>
      </c>
      <c r="M72" s="20"/>
      <c r="O72" s="34"/>
    </row>
    <row r="73" spans="1:15" x14ac:dyDescent="0.25">
      <c r="B73" s="1" t="s">
        <v>18</v>
      </c>
      <c r="C73" s="2" t="s">
        <v>26</v>
      </c>
      <c r="D73" s="6" t="s">
        <v>35</v>
      </c>
      <c r="E73" s="6" t="s">
        <v>36</v>
      </c>
      <c r="F73" s="6" t="s">
        <v>37</v>
      </c>
      <c r="G73" s="6">
        <v>13500</v>
      </c>
      <c r="H73" s="18"/>
      <c r="I73" s="8">
        <f t="shared" si="12"/>
        <v>480</v>
      </c>
      <c r="J73" s="8">
        <f t="shared" si="13"/>
        <v>120</v>
      </c>
      <c r="K73" s="8">
        <f t="shared" si="14"/>
        <v>30</v>
      </c>
      <c r="L73" s="8">
        <f t="shared" si="15"/>
        <v>420</v>
      </c>
      <c r="M73" s="20"/>
      <c r="O73" s="34"/>
    </row>
    <row r="74" spans="1:15" x14ac:dyDescent="0.25">
      <c r="C74" s="2" t="s">
        <v>27</v>
      </c>
      <c r="D74" s="6" t="s">
        <v>35</v>
      </c>
      <c r="E74" s="6" t="s">
        <v>36</v>
      </c>
      <c r="F74" s="6" t="s">
        <v>37</v>
      </c>
      <c r="G74" s="6">
        <v>13500</v>
      </c>
      <c r="H74" s="18"/>
      <c r="I74" s="8">
        <f t="shared" si="12"/>
        <v>480</v>
      </c>
      <c r="J74" s="8">
        <f t="shared" si="13"/>
        <v>120</v>
      </c>
      <c r="K74" s="8">
        <f t="shared" si="14"/>
        <v>30</v>
      </c>
      <c r="L74" s="8">
        <f t="shared" si="15"/>
        <v>420</v>
      </c>
      <c r="M74" s="20"/>
      <c r="O74" s="34"/>
    </row>
    <row r="75" spans="1:15" x14ac:dyDescent="0.25">
      <c r="C75" s="2" t="s">
        <v>28</v>
      </c>
      <c r="D75" s="6" t="s">
        <v>35</v>
      </c>
      <c r="E75" s="6" t="s">
        <v>36</v>
      </c>
      <c r="F75" s="6" t="s">
        <v>37</v>
      </c>
      <c r="G75" s="6">
        <v>13500</v>
      </c>
      <c r="H75" s="18"/>
      <c r="I75" s="8">
        <f t="shared" si="12"/>
        <v>480</v>
      </c>
      <c r="J75" s="8">
        <f t="shared" si="13"/>
        <v>120</v>
      </c>
      <c r="K75" s="8">
        <f t="shared" si="14"/>
        <v>30</v>
      </c>
      <c r="L75" s="8">
        <f t="shared" si="15"/>
        <v>420</v>
      </c>
      <c r="M75" s="20"/>
      <c r="O75" s="34"/>
    </row>
    <row r="76" spans="1:15" x14ac:dyDescent="0.25">
      <c r="C76" s="2" t="s">
        <v>29</v>
      </c>
      <c r="D76" s="6" t="s">
        <v>35</v>
      </c>
      <c r="E76" s="6" t="s">
        <v>36</v>
      </c>
      <c r="F76" s="6" t="s">
        <v>37</v>
      </c>
      <c r="G76" s="6">
        <v>13500</v>
      </c>
      <c r="H76" s="18"/>
      <c r="I76" s="8">
        <f t="shared" si="12"/>
        <v>480</v>
      </c>
      <c r="J76" s="8">
        <f t="shared" si="13"/>
        <v>120</v>
      </c>
      <c r="K76" s="8">
        <f t="shared" si="14"/>
        <v>30</v>
      </c>
      <c r="L76" s="8">
        <f t="shared" si="15"/>
        <v>420</v>
      </c>
      <c r="M76" s="20"/>
      <c r="O76" s="34"/>
    </row>
    <row r="77" spans="1:15" x14ac:dyDescent="0.25">
      <c r="C77" s="2" t="s">
        <v>30</v>
      </c>
      <c r="D77" s="6" t="s">
        <v>35</v>
      </c>
      <c r="E77" s="6" t="s">
        <v>36</v>
      </c>
      <c r="F77" s="6" t="s">
        <v>37</v>
      </c>
      <c r="G77" s="6">
        <v>13500</v>
      </c>
      <c r="H77" s="18"/>
      <c r="I77" s="8">
        <f t="shared" si="12"/>
        <v>480</v>
      </c>
      <c r="J77" s="8">
        <f t="shared" si="13"/>
        <v>120</v>
      </c>
      <c r="K77" s="8">
        <f t="shared" si="14"/>
        <v>30</v>
      </c>
      <c r="L77" s="8">
        <f t="shared" si="15"/>
        <v>420</v>
      </c>
      <c r="M77" s="20"/>
      <c r="O77" s="34"/>
    </row>
    <row r="78" spans="1:15" x14ac:dyDescent="0.25">
      <c r="C78" s="2" t="s">
        <v>31</v>
      </c>
      <c r="D78" s="6" t="s">
        <v>35</v>
      </c>
      <c r="E78" s="6" t="s">
        <v>36</v>
      </c>
      <c r="F78" s="6" t="s">
        <v>37</v>
      </c>
      <c r="G78" s="6">
        <v>13500</v>
      </c>
      <c r="H78" s="18"/>
      <c r="I78" s="8">
        <f t="shared" si="12"/>
        <v>480</v>
      </c>
      <c r="J78" s="8">
        <f t="shared" si="13"/>
        <v>120</v>
      </c>
      <c r="K78" s="8">
        <f t="shared" si="14"/>
        <v>30</v>
      </c>
      <c r="L78" s="8">
        <f t="shared" si="15"/>
        <v>420</v>
      </c>
      <c r="M78" s="20"/>
      <c r="O78" s="34"/>
    </row>
    <row r="79" spans="1:15" x14ac:dyDescent="0.25">
      <c r="C79" s="2" t="s">
        <v>32</v>
      </c>
      <c r="D79" s="6"/>
      <c r="E79" s="17"/>
      <c r="F79" s="17"/>
      <c r="G79" s="17">
        <f>SUM(G66:G78)</f>
        <v>175500</v>
      </c>
      <c r="H79" s="18">
        <f>SUM(H66:H78)</f>
        <v>0</v>
      </c>
      <c r="I79" s="8"/>
      <c r="J79" s="8"/>
      <c r="K79" s="8"/>
      <c r="L79" s="8"/>
      <c r="M79" s="8"/>
      <c r="O79" s="34"/>
    </row>
    <row r="80" spans="1:15" x14ac:dyDescent="0.25">
      <c r="C80" s="2"/>
      <c r="D80" s="21"/>
      <c r="E80" s="22"/>
      <c r="F80" s="23"/>
      <c r="G80" s="17"/>
      <c r="H80" s="18"/>
      <c r="I80" s="8"/>
      <c r="J80" s="8"/>
      <c r="K80" s="8"/>
      <c r="L80" s="8"/>
      <c r="M80" s="8"/>
      <c r="O80" s="34"/>
    </row>
    <row r="81" spans="1:15" x14ac:dyDescent="0.25">
      <c r="C81" s="2"/>
      <c r="D81" s="21"/>
      <c r="E81" s="22"/>
      <c r="F81" s="23"/>
      <c r="G81" s="17"/>
      <c r="H81" s="18"/>
      <c r="I81" s="8"/>
      <c r="J81" s="8"/>
      <c r="K81" s="8"/>
      <c r="L81" s="8"/>
      <c r="M81" s="8"/>
      <c r="O81" s="34"/>
    </row>
    <row r="82" spans="1:15" x14ac:dyDescent="0.25">
      <c r="C82" s="2"/>
      <c r="D82" s="21"/>
      <c r="E82" s="22"/>
      <c r="F82" s="23"/>
      <c r="G82" s="17"/>
      <c r="H82" s="18"/>
      <c r="I82" s="8"/>
      <c r="J82" s="8"/>
      <c r="K82" s="8"/>
      <c r="L82" s="8"/>
      <c r="M82" s="8"/>
      <c r="O82" s="34"/>
    </row>
    <row r="83" spans="1:15" x14ac:dyDescent="0.25">
      <c r="C83" s="2"/>
      <c r="D83" s="21"/>
      <c r="E83" s="22"/>
      <c r="F83" s="23"/>
      <c r="G83" s="17"/>
      <c r="H83" s="18"/>
      <c r="I83" s="8">
        <v>6000</v>
      </c>
      <c r="J83" s="20"/>
      <c r="K83" s="20"/>
      <c r="L83" s="20">
        <v>6000</v>
      </c>
      <c r="M83" s="8"/>
      <c r="O83" s="34"/>
    </row>
    <row r="84" spans="1:15" x14ac:dyDescent="0.25">
      <c r="C84" s="2"/>
      <c r="D84" s="21"/>
      <c r="E84" s="22"/>
      <c r="F84" s="23"/>
      <c r="G84" s="17"/>
      <c r="H84" s="18"/>
      <c r="I84" s="8">
        <v>0.08</v>
      </c>
      <c r="J84" s="20">
        <v>0.02</v>
      </c>
      <c r="K84" s="20">
        <v>5.0000000000000001E-3</v>
      </c>
      <c r="L84" s="20">
        <v>7.0000000000000007E-2</v>
      </c>
      <c r="M84" s="8"/>
      <c r="O84" s="34"/>
    </row>
    <row r="85" spans="1:15" x14ac:dyDescent="0.25">
      <c r="C85" s="2"/>
      <c r="D85" s="21"/>
      <c r="E85" s="22"/>
      <c r="F85" s="23"/>
      <c r="G85" s="17"/>
      <c r="H85" s="18"/>
      <c r="I85" s="8"/>
      <c r="J85" s="20"/>
      <c r="K85" s="20"/>
      <c r="L85" s="20"/>
      <c r="M85" s="8"/>
      <c r="O85" s="34"/>
    </row>
    <row r="86" spans="1:15" x14ac:dyDescent="0.25">
      <c r="C86" s="2"/>
      <c r="D86" s="21"/>
      <c r="E86" s="22"/>
      <c r="F86" s="23"/>
      <c r="G86" s="17"/>
      <c r="H86" s="18"/>
      <c r="I86" s="8"/>
      <c r="J86" s="8"/>
      <c r="K86" s="8"/>
      <c r="L86" s="8"/>
      <c r="M86" s="8"/>
      <c r="O86" s="34"/>
    </row>
    <row r="87" spans="1:15" x14ac:dyDescent="0.25">
      <c r="A87" s="1">
        <v>2026</v>
      </c>
      <c r="B87" s="1" t="s">
        <v>18</v>
      </c>
      <c r="C87" s="9" t="s">
        <v>33</v>
      </c>
      <c r="D87" s="6" t="s">
        <v>35</v>
      </c>
      <c r="E87" s="6" t="s">
        <v>36</v>
      </c>
      <c r="F87" s="6" t="s">
        <v>37</v>
      </c>
      <c r="G87" s="6">
        <v>13500</v>
      </c>
      <c r="H87" s="18"/>
      <c r="I87" s="8">
        <f>$I$21*$I$22</f>
        <v>480</v>
      </c>
      <c r="J87" s="8">
        <f>$J$22*$I$21</f>
        <v>120</v>
      </c>
      <c r="K87" s="8">
        <f>$K$22*$I$21</f>
        <v>30</v>
      </c>
      <c r="L87" s="8">
        <f>$L$21*$L$22</f>
        <v>420</v>
      </c>
      <c r="M87" s="8"/>
      <c r="O87" s="34"/>
    </row>
    <row r="88" spans="1:15" x14ac:dyDescent="0.25">
      <c r="B88" s="1" t="s">
        <v>18</v>
      </c>
      <c r="C88" s="9" t="s">
        <v>34</v>
      </c>
      <c r="D88" s="6" t="s">
        <v>35</v>
      </c>
      <c r="E88" s="6" t="s">
        <v>36</v>
      </c>
      <c r="F88" s="6" t="s">
        <v>37</v>
      </c>
      <c r="G88" s="6">
        <v>3724</v>
      </c>
      <c r="H88" s="18"/>
      <c r="I88" s="8"/>
      <c r="J88" s="8"/>
      <c r="K88" s="8"/>
      <c r="L88" s="8"/>
      <c r="M88" s="8"/>
      <c r="O88" s="34"/>
    </row>
    <row r="89" spans="1:15" x14ac:dyDescent="0.25">
      <c r="B89" s="13" t="s">
        <v>19</v>
      </c>
      <c r="C89" s="14" t="s">
        <v>38</v>
      </c>
      <c r="D89" s="6" t="s">
        <v>35</v>
      </c>
      <c r="E89" s="14" t="s">
        <v>36</v>
      </c>
      <c r="F89" s="14" t="s">
        <v>37</v>
      </c>
      <c r="G89" s="14">
        <v>13500</v>
      </c>
      <c r="H89" s="18"/>
      <c r="I89" s="8"/>
      <c r="J89" s="8"/>
      <c r="K89" s="8"/>
      <c r="L89" s="8"/>
      <c r="M89" s="8"/>
      <c r="O89" s="34"/>
    </row>
    <row r="90" spans="1:15" x14ac:dyDescent="0.25">
      <c r="B90" s="1" t="s">
        <v>18</v>
      </c>
      <c r="C90" s="15" t="s">
        <v>38</v>
      </c>
      <c r="D90" s="16" t="s">
        <v>35</v>
      </c>
      <c r="E90" s="16" t="s">
        <v>36</v>
      </c>
      <c r="F90" s="16" t="s">
        <v>37</v>
      </c>
      <c r="G90" s="16">
        <v>0</v>
      </c>
      <c r="H90" s="18"/>
      <c r="I90" s="8"/>
      <c r="J90" s="8"/>
      <c r="K90" s="8"/>
      <c r="L90" s="8"/>
      <c r="M90" s="8"/>
      <c r="O90" s="34"/>
    </row>
    <row r="91" spans="1:15" x14ac:dyDescent="0.25">
      <c r="C91" s="2" t="s">
        <v>32</v>
      </c>
      <c r="D91" s="6"/>
      <c r="E91" s="17"/>
      <c r="F91" s="17"/>
      <c r="G91" s="17">
        <f>SUM(G87:G90)</f>
        <v>30724</v>
      </c>
      <c r="H91" s="18">
        <f>SUM(H87:H90)</f>
        <v>0</v>
      </c>
      <c r="I91" s="8"/>
      <c r="J91" s="8"/>
      <c r="K91" s="8"/>
      <c r="L91" s="8"/>
      <c r="M91" s="8"/>
      <c r="O91" s="34"/>
    </row>
    <row r="92" spans="1:15" x14ac:dyDescent="0.25">
      <c r="C92" s="2"/>
      <c r="D92" s="21"/>
      <c r="E92" s="22"/>
      <c r="F92" s="23"/>
      <c r="G92" s="17"/>
      <c r="H92" s="18"/>
      <c r="I92" s="8"/>
      <c r="J92" s="8"/>
      <c r="K92" s="8"/>
      <c r="L92" s="8"/>
      <c r="M92" s="8"/>
      <c r="O92" s="34"/>
    </row>
    <row r="93" spans="1:15" x14ac:dyDescent="0.25">
      <c r="C93" s="2" t="s">
        <v>39</v>
      </c>
      <c r="D93" s="27" t="s">
        <v>40</v>
      </c>
      <c r="E93" s="28"/>
      <c r="F93" s="29"/>
      <c r="G93" s="2"/>
      <c r="H93" s="2"/>
      <c r="I93" s="2"/>
      <c r="J93" s="2"/>
      <c r="K93" s="2"/>
      <c r="L93" s="2"/>
      <c r="M93" s="2"/>
      <c r="O93" s="34"/>
    </row>
    <row r="94" spans="1:15" x14ac:dyDescent="0.25">
      <c r="C94" s="2" t="s">
        <v>41</v>
      </c>
      <c r="D94" s="27" t="s">
        <v>42</v>
      </c>
      <c r="E94" s="28"/>
      <c r="F94" s="29"/>
      <c r="G94" s="2" t="s">
        <v>43</v>
      </c>
      <c r="H94" s="2"/>
      <c r="I94" s="2"/>
      <c r="J94" s="2"/>
      <c r="K94" s="2"/>
      <c r="L94" s="2"/>
      <c r="M94" s="2"/>
      <c r="O94" s="34"/>
    </row>
    <row r="95" spans="1:15" x14ac:dyDescent="0.25">
      <c r="C95" s="2" t="s">
        <v>44</v>
      </c>
      <c r="D95" s="30"/>
      <c r="E95" s="31"/>
      <c r="F95" s="31"/>
      <c r="G95" s="31"/>
      <c r="H95" s="31"/>
      <c r="I95" s="31"/>
      <c r="J95" s="31"/>
      <c r="K95" s="31"/>
      <c r="L95" s="31"/>
      <c r="M95" s="31"/>
      <c r="O95" s="34"/>
    </row>
    <row r="96" spans="1:15" ht="134" customHeight="1" x14ac:dyDescent="0.25">
      <c r="B96" s="24"/>
      <c r="C96" s="32" t="s">
        <v>45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</row>
  </sheetData>
  <mergeCells count="7">
    <mergeCell ref="O45:O95"/>
    <mergeCell ref="I1:L2"/>
    <mergeCell ref="D3:F3"/>
    <mergeCell ref="D93:F93"/>
    <mergeCell ref="D94:F94"/>
    <mergeCell ref="D95:M95"/>
    <mergeCell ref="C96:M96"/>
  </mergeCells>
  <phoneticPr fontId="1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个睡流水填写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金东</dc:creator>
  <cp:lastModifiedBy>白 杨</cp:lastModifiedBy>
  <dcterms:created xsi:type="dcterms:W3CDTF">2023-05-13T03:15:00Z</dcterms:created>
  <dcterms:modified xsi:type="dcterms:W3CDTF">2026-04-01T12:03:23Z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2FDE83AA7B9B4225A5B8FB5AE96D9000_13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